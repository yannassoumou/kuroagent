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0" documentId="8_{D5B58549-3E02-4299-9C97-ED9D8C542B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C2" i="3"/>
  <c r="C3" i="3"/>
  <c r="C4" i="3"/>
  <c r="C5" i="3"/>
  <c r="C6" i="3"/>
  <c r="C7" i="3"/>
  <c r="C8" i="3"/>
  <c r="C9" i="3"/>
  <c r="B2" i="3"/>
  <c r="B3" i="3"/>
  <c r="B4" i="3"/>
  <c r="B5" i="3"/>
  <c r="B6" i="3"/>
  <c r="B7" i="3"/>
  <c r="B8" i="3"/>
  <c r="B9" i="3"/>
  <c r="F21" i="2"/>
  <c r="F22" i="2"/>
  <c r="F23" i="2"/>
  <c r="F24" i="2"/>
  <c r="G21" i="2"/>
  <c r="G22" i="2"/>
  <c r="G23" i="2"/>
  <c r="G24" i="2"/>
  <c r="E21" i="2"/>
  <c r="E22" i="2"/>
  <c r="E23" i="2"/>
  <c r="E24" i="2"/>
  <c r="D21" i="2"/>
  <c r="D22" i="2"/>
  <c r="D23" i="2"/>
  <c r="D24" i="2"/>
  <c r="C21" i="2"/>
  <c r="C22" i="2"/>
  <c r="C23" i="2"/>
  <c r="C24" i="2"/>
  <c r="B21" i="2"/>
  <c r="B22" i="2"/>
  <c r="B23" i="2"/>
  <c r="B24" i="2"/>
  <c r="F14" i="2"/>
  <c r="F15" i="2"/>
  <c r="F16" i="2"/>
  <c r="F17" i="2"/>
  <c r="E14" i="2"/>
  <c r="E15" i="2"/>
  <c r="E16" i="2"/>
  <c r="E17" i="2"/>
  <c r="D14" i="2"/>
  <c r="D15" i="2"/>
  <c r="D16" i="2"/>
  <c r="D17" i="2"/>
  <c r="C14" i="2"/>
  <c r="C15" i="2"/>
  <c r="C16" i="2"/>
  <c r="C17" i="2"/>
  <c r="B14" i="2"/>
  <c r="B15" i="2"/>
  <c r="B16" i="2"/>
  <c r="B17" i="2"/>
  <c r="F3" i="2"/>
  <c r="F4" i="2"/>
  <c r="F5" i="2"/>
  <c r="F6" i="2"/>
  <c r="F7" i="2"/>
  <c r="F8" i="2"/>
  <c r="F9" i="2"/>
  <c r="F10" i="2"/>
  <c r="E3" i="2"/>
  <c r="E4" i="2"/>
  <c r="E5" i="2"/>
  <c r="E6" i="2"/>
  <c r="E7" i="2"/>
  <c r="E8" i="2"/>
  <c r="E9" i="2"/>
  <c r="E10" i="2"/>
  <c r="D3" i="2"/>
  <c r="D4" i="2"/>
  <c r="D5" i="2"/>
  <c r="D6" i="2"/>
  <c r="D7" i="2"/>
  <c r="D8" i="2"/>
  <c r="D9" i="2"/>
  <c r="D10" i="2"/>
  <c r="C3" i="2"/>
  <c r="C4" i="2"/>
  <c r="C5" i="2"/>
  <c r="C6" i="2"/>
  <c r="C7" i="2"/>
  <c r="C8" i="2"/>
  <c r="C9" i="2"/>
  <c r="C10" i="2"/>
  <c r="B3" i="2"/>
  <c r="B4" i="2"/>
  <c r="B5" i="2"/>
  <c r="B6" i="2"/>
  <c r="B7" i="2"/>
  <c r="B8" i="2"/>
  <c r="B9" i="2"/>
  <c r="B10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</calcChain>
</file>

<file path=xl/sharedStrings.xml><?xml version="1.0" encoding="utf-8"?>
<sst xmlns="http://schemas.openxmlformats.org/spreadsheetml/2006/main" count="159" uniqueCount="43">
  <si>
    <t>Nom</t>
  </si>
  <si>
    <t>Région</t>
  </si>
  <si>
    <t>Mois</t>
  </si>
  <si>
    <t>CA réalisé (€)</t>
  </si>
  <si>
    <t>Objectif CA (€)</t>
  </si>
  <si>
    <t>Nb deals closés</t>
  </si>
  <si>
    <t>Nb prospects contactés</t>
  </si>
  <si>
    <t>Taux de conversion</t>
  </si>
  <si>
    <t>Panier moyen (€)</t>
  </si>
  <si>
    <t>Dupont</t>
  </si>
  <si>
    <t>Nord</t>
  </si>
  <si>
    <t>Janvier</t>
  </si>
  <si>
    <t>Martin</t>
  </si>
  <si>
    <t>Sud</t>
  </si>
  <si>
    <t>Bernard</t>
  </si>
  <si>
    <t>Ouest</t>
  </si>
  <si>
    <t>Leroy</t>
  </si>
  <si>
    <t>Est</t>
  </si>
  <si>
    <t>Moreau</t>
  </si>
  <si>
    <t>Petit</t>
  </si>
  <si>
    <t>Robert</t>
  </si>
  <si>
    <t>Simon</t>
  </si>
  <si>
    <t>Février</t>
  </si>
  <si>
    <t>Mars</t>
  </si>
  <si>
    <t>Avril</t>
  </si>
  <si>
    <t>TABLEAU DE BORD COMMERCIAL - 2024</t>
  </si>
  <si>
    <t>CA Total Réalisé</t>
  </si>
  <si>
    <t>CA Total Objectif</t>
  </si>
  <si>
    <t>Taux Atteinte (%)</t>
  </si>
  <si>
    <t>Deals Total</t>
  </si>
  <si>
    <t>Taux Conv. Moyen (%)</t>
  </si>
  <si>
    <t>Roux</t>
  </si>
  <si>
    <t>Garcia</t>
  </si>
  <si>
    <t>Analyse par Région</t>
  </si>
  <si>
    <t>Taux Atteinte</t>
  </si>
  <si>
    <t>Nb Deals Total</t>
  </si>
  <si>
    <t>Taux Conv. Moyen</t>
  </si>
  <si>
    <t>Évolution Mensuelle</t>
  </si>
  <si>
    <t>CA Réalisé</t>
  </si>
  <si>
    <t>CA Objectif</t>
  </si>
  <si>
    <t>Deals Closés</t>
  </si>
  <si>
    <t>CA Total</t>
  </si>
  <si>
    <t>Durand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</si>
</sst>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€"/>
    <numFmt numFmtId="165" formatCode="0.0&quot;%&quot;"/>
    <numFmt numFmtId="166" formatCode="0.0%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6"/>
      <color rgb="FF1F4E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0" fontId="1" fillId="3" borderId="2" xfId="0" applyFont="1" applyFill="1" applyBorder="1"/>
    <xf numFmtId="166" fontId="0" fillId="0" borderId="0" xfId="0" applyNumberFormat="1"/>
    <xf numFmtId="1" fontId="0" fillId="0" borderId="0" xfId="0" applyNumberFormat="1"/>
    <xf numFmtId="0" fontId="2" fillId="4" borderId="0" xfId="0" applyFont="1" applyFill="1"/>
    <xf numFmtId="0" fontId="3" fillId="5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Réalisé vs Objectif par Commercial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Feuil3!$B$1</c:f>
              <c:strCache>
                <c:ptCount val="1"/>
                <c:pt idx="0">
                  <c:v>CA Total Réalisé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Feuil3!$A$2:$A$9</c:f>
              <c:strCache>
                <c:ptCount val="8"/>
                <c:pt idx="0">
                  <c:v>Martin</c:v>
                </c:pt>
                <c:pt idx="1">
                  <c:v>Dupont</c:v>
                </c:pt>
                <c:pt idx="2">
                  <c:v>Bernard</c:v>
                </c:pt>
                <c:pt idx="3">
                  <c:v>Petit</c:v>
                </c:pt>
                <c:pt idx="4">
                  <c:v>Durand</c:v>
                </c:pt>
                <c:pt idx="5">
                  <c:v>Leroy</c:v>
                </c:pt>
                <c:pt idx="6">
                  <c:v>Moreau</c:v>
                </c:pt>
                <c:pt idx="7">
                  <c:v>Simon</c:v>
                </c:pt>
              </c:strCache>
            </c:strRef>
          </c:cat>
          <c:val>
            <c:numRef>
              <c:f>Feuil3!$B$2:$B$9</c:f>
              <c:numCache>
                <c:formatCode>#,##0\ \€</c:formatCode>
                <c:ptCount val="8"/>
                <c:pt idx="0">
                  <c:v>198000</c:v>
                </c:pt>
                <c:pt idx="1">
                  <c:v>198000</c:v>
                </c:pt>
                <c:pt idx="2">
                  <c:v>173000</c:v>
                </c:pt>
                <c:pt idx="3">
                  <c:v>145000</c:v>
                </c:pt>
                <c:pt idx="4">
                  <c:v>0</c:v>
                </c:pt>
                <c:pt idx="5">
                  <c:v>207000</c:v>
                </c:pt>
                <c:pt idx="6">
                  <c:v>224000</c:v>
                </c:pt>
                <c:pt idx="7">
                  <c:v>215000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F-40F3-B735-1BBC1FA9C400}"/>
            </c:ext>
          </c:extLst>
        </c:ser>
        <c:ser>
          <c:idx val="1"/>
          <c:order val="1"/>
          <c:tx>
            <c:strRef>
              <c:f>Feuil3!$C$1</c:f>
              <c:strCache>
                <c:ptCount val="1"/>
                <c:pt idx="0">
                  <c:v>CA Total Objectif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Feuil3!$A$2:$A$9</c:f>
              <c:strCache>
                <c:ptCount val="8"/>
                <c:pt idx="0">
                  <c:v>Martin</c:v>
                </c:pt>
                <c:pt idx="1">
                  <c:v>Dupont</c:v>
                </c:pt>
                <c:pt idx="2">
                  <c:v>Bernard</c:v>
                </c:pt>
                <c:pt idx="3">
                  <c:v>Petit</c:v>
                </c:pt>
                <c:pt idx="4">
                  <c:v>Durand</c:v>
                </c:pt>
                <c:pt idx="5">
                  <c:v>Leroy</c:v>
                </c:pt>
                <c:pt idx="6">
                  <c:v>Moreau</c:v>
                </c:pt>
                <c:pt idx="7">
                  <c:v>Simon</c:v>
                </c:pt>
              </c:strCache>
            </c:strRef>
          </c:cat>
          <c:val>
            <c:numRef>
              <c:f>Feuil3!$C$2:$C$9</c:f>
              <c:numCache>
                <c:formatCode>#,##0\ \€</c:formatCode>
                <c:ptCount val="8"/>
                <c:pt idx="0">
                  <c:v>192000</c:v>
                </c:pt>
                <c:pt idx="1">
                  <c:v>200000</c:v>
                </c:pt>
                <c:pt idx="2">
                  <c:v>180000</c:v>
                </c:pt>
                <c:pt idx="3">
                  <c:v>160000</c:v>
                </c:pt>
                <c:pt idx="4">
                  <c:v>0</c:v>
                </c:pt>
                <c:pt idx="5">
                  <c:v>200000</c:v>
                </c:pt>
                <c:pt idx="6">
                  <c:v>208000</c:v>
                </c:pt>
                <c:pt idx="7">
                  <c:v>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F-40F3-B735-1BBC1FA9C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9867271"/>
        <c:axId val="1489869319"/>
      </c:barChart>
      <c:catAx>
        <c:axId val="1489867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69319"/>
        <c:crosses val="autoZero"/>
        <c:auto val="1"/>
        <c:lblAlgn val="ctr"/>
        <c:lblOffset val="100"/>
        <c:noMultiLvlLbl val="0"/>
      </c:catAx>
      <c:valAx>
        <c:axId val="1489869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\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6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du CA Mensuel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Feuil3!$F$1</c:f>
              <c:strCache>
                <c:ptCount val="1"/>
                <c:pt idx="0">
                  <c:v>CA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Feuil3!$E$2:$E$5</c:f>
              <c:strCache>
                <c:ptCount val="4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</c:strCache>
            </c:strRef>
          </c:cat>
          <c:val>
            <c:numRef>
              <c:f>Feuil3!$F$2:$F$5</c:f>
              <c:numCache>
                <c:formatCode>#,##0\ \€</c:formatCode>
                <c:ptCount val="4"/>
                <c:pt idx="0">
                  <c:v>359000</c:v>
                </c:pt>
                <c:pt idx="1">
                  <c:v>369000</c:v>
                </c:pt>
                <c:pt idx="2">
                  <c:v>395000</c:v>
                </c:pt>
                <c:pt idx="3">
                  <c:v>417000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A-4CF8-89EA-A43673E0B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37863"/>
        <c:axId val="1492539911"/>
      </c:lineChart>
      <c:catAx>
        <c:axId val="149253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39911"/>
        <c:crosses val="autoZero"/>
        <c:auto val="1"/>
        <c:lblAlgn val="ctr"/>
        <c:lblOffset val="100"/>
        <c:noMultiLvlLbl val="0"/>
      </c:catAx>
      <c:valAx>
        <c:axId val="1492539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\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37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13</xdr:row>
      <xdr:rowOff>57150</xdr:rowOff>
    </xdr:from>
    <xdr:to>
      <xdr:col>10</xdr:col>
      <xdr:colOff>371475</xdr:colOff>
      <xdr:row>36</xdr:row>
      <xdr:rowOff>114300</xdr:rowOff>
    </xdr:to>
    <xdr:graphicFrame macro="">
      <xdr:nvGraphicFramePr>
        <xdr:cNvPr id="2" name="CA Réalisé vs Objectif par Commercial">
          <a:extLst>
            <a:ext uri="{FF2B5EF4-FFF2-40B4-BE49-F238E27FC236}">
              <a16:creationId xmlns:a16="http://schemas.microsoft.com/office/drawing/2014/main" id="{31475764-0860-9858-D9CD-5A33816CC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13</xdr:row>
      <xdr:rowOff>57150</xdr:rowOff>
    </xdr:from>
    <xdr:to>
      <xdr:col>20</xdr:col>
      <xdr:colOff>123825</xdr:colOff>
      <xdr:row>36</xdr:row>
      <xdr:rowOff>114300</xdr:rowOff>
    </xdr:to>
    <xdr:graphicFrame macro="">
      <xdr:nvGraphicFramePr>
        <xdr:cNvPr id="3" name="Évolution du CA Mensuel">
          <a:extLst>
            <a:ext uri="{FF2B5EF4-FFF2-40B4-BE49-F238E27FC236}">
              <a16:creationId xmlns:a16="http://schemas.microsoft.com/office/drawing/2014/main" id="{ACFF30C1-84E3-9543-42A4-CEC7E3EBBE22}"/>
            </a:ext>
            <a:ext uri="{147F2762-F138-4A5C-976F-8EAC2B608ADB}">
              <a16:predDERef xmlns:a16="http://schemas.microsoft.com/office/drawing/2014/main" pred="{31475764-0860-9858-D9CD-5A33816CC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/>
  </sheetViews>
  <sheetFormatPr defaultRowHeight="15"/>
  <cols>
    <col min="1" max="1" width="7.5703125" bestFit="1" customWidth="1"/>
    <col min="2" max="2" width="6.85546875" bestFit="1" customWidth="1"/>
    <col min="3" max="3" width="6.7109375" bestFit="1" customWidth="1"/>
    <col min="4" max="4" width="12.5703125" bestFit="1" customWidth="1"/>
    <col min="5" max="5" width="13.7109375" bestFit="1" customWidth="1"/>
    <col min="6" max="6" width="14.7109375" bestFit="1" customWidth="1"/>
    <col min="7" max="7" width="21.85546875" bestFit="1" customWidth="1"/>
    <col min="8" max="8" width="17.7109375" bestFit="1" customWidth="1"/>
    <col min="9" max="9" width="15.710937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s="1">
        <v>45000</v>
      </c>
      <c r="E2" s="1">
        <v>50000</v>
      </c>
      <c r="F2">
        <v>12</v>
      </c>
      <c r="G2">
        <v>85</v>
      </c>
      <c r="H2" s="2">
        <f>F2/G2*100</f>
        <v>14.117647058823529</v>
      </c>
      <c r="I2" s="1">
        <f>D2/F2</f>
        <v>3750</v>
      </c>
    </row>
    <row r="3" spans="1:9">
      <c r="A3" t="s">
        <v>12</v>
      </c>
      <c r="B3" t="s">
        <v>13</v>
      </c>
      <c r="C3" t="s">
        <v>11</v>
      </c>
      <c r="D3" s="1">
        <v>52000</v>
      </c>
      <c r="E3" s="1">
        <v>48000</v>
      </c>
      <c r="F3">
        <v>15</v>
      </c>
      <c r="G3">
        <v>92</v>
      </c>
      <c r="H3" s="2">
        <f>F3/G3*100</f>
        <v>16.304347826086957</v>
      </c>
      <c r="I3" s="1">
        <f>D3/F3</f>
        <v>3466.6666666666665</v>
      </c>
    </row>
    <row r="4" spans="1:9">
      <c r="A4" t="s">
        <v>14</v>
      </c>
      <c r="B4" t="s">
        <v>15</v>
      </c>
      <c r="C4" t="s">
        <v>11</v>
      </c>
      <c r="D4" s="1">
        <v>38000</v>
      </c>
      <c r="E4" s="1">
        <v>45000</v>
      </c>
      <c r="F4">
        <v>10</v>
      </c>
      <c r="G4">
        <v>78</v>
      </c>
      <c r="H4" s="2">
        <f>F4/G4*100</f>
        <v>12.820512820512819</v>
      </c>
      <c r="I4" s="1">
        <f>D4/F4</f>
        <v>3800</v>
      </c>
    </row>
    <row r="5" spans="1:9">
      <c r="A5" t="s">
        <v>16</v>
      </c>
      <c r="B5" t="s">
        <v>17</v>
      </c>
      <c r="C5" t="s">
        <v>11</v>
      </c>
      <c r="D5" s="1">
        <v>47000</v>
      </c>
      <c r="E5" s="1">
        <v>50000</v>
      </c>
      <c r="F5">
        <v>13</v>
      </c>
      <c r="G5">
        <v>88</v>
      </c>
      <c r="H5" s="2">
        <f>F5/G5*100</f>
        <v>14.772727272727273</v>
      </c>
      <c r="I5" s="1">
        <f>D5/F5</f>
        <v>3615.3846153846152</v>
      </c>
    </row>
    <row r="6" spans="1:9">
      <c r="A6" t="s">
        <v>18</v>
      </c>
      <c r="B6" t="s">
        <v>10</v>
      </c>
      <c r="C6" t="s">
        <v>11</v>
      </c>
      <c r="D6" s="1">
        <v>55000</v>
      </c>
      <c r="E6" s="1">
        <v>52000</v>
      </c>
      <c r="F6">
        <v>16</v>
      </c>
      <c r="G6">
        <v>95</v>
      </c>
      <c r="H6" s="2">
        <f>F6/G6*100</f>
        <v>16.842105263157894</v>
      </c>
      <c r="I6" s="1">
        <f>D6/F6</f>
        <v>3437.5</v>
      </c>
    </row>
    <row r="7" spans="1:9">
      <c r="A7" t="s">
        <v>19</v>
      </c>
      <c r="B7" t="s">
        <v>13</v>
      </c>
      <c r="C7" t="s">
        <v>11</v>
      </c>
      <c r="D7" s="1">
        <v>32000</v>
      </c>
      <c r="E7" s="1">
        <v>40000</v>
      </c>
      <c r="F7">
        <v>8</v>
      </c>
      <c r="G7">
        <v>70</v>
      </c>
      <c r="H7" s="2">
        <f>F7/G7*100</f>
        <v>11.428571428571429</v>
      </c>
      <c r="I7" s="1">
        <f>D7/F7</f>
        <v>4000</v>
      </c>
    </row>
    <row r="8" spans="1:9">
      <c r="A8" t="s">
        <v>20</v>
      </c>
      <c r="B8" t="s">
        <v>15</v>
      </c>
      <c r="C8" t="s">
        <v>11</v>
      </c>
      <c r="D8" s="1">
        <v>41000</v>
      </c>
      <c r="E8" s="1">
        <v>42000</v>
      </c>
      <c r="F8">
        <v>11</v>
      </c>
      <c r="G8">
        <v>82</v>
      </c>
      <c r="H8" s="2">
        <f>F8/G8*100</f>
        <v>13.414634146341465</v>
      </c>
      <c r="I8" s="1">
        <f>D8/F8</f>
        <v>3727.2727272727275</v>
      </c>
    </row>
    <row r="9" spans="1:9">
      <c r="A9" t="s">
        <v>21</v>
      </c>
      <c r="B9" t="s">
        <v>17</v>
      </c>
      <c r="C9" t="s">
        <v>11</v>
      </c>
      <c r="D9" s="1">
        <v>49000</v>
      </c>
      <c r="E9" s="1">
        <v>47000</v>
      </c>
      <c r="F9">
        <v>14</v>
      </c>
      <c r="G9">
        <v>90</v>
      </c>
      <c r="H9" s="2">
        <f>F9/G9*100</f>
        <v>15.555555555555555</v>
      </c>
      <c r="I9" s="1">
        <f>D9/F9</f>
        <v>3500</v>
      </c>
    </row>
    <row r="10" spans="1:9">
      <c r="A10" t="s">
        <v>9</v>
      </c>
      <c r="B10" t="s">
        <v>10</v>
      </c>
      <c r="C10" t="s">
        <v>22</v>
      </c>
      <c r="D10" s="1">
        <v>48000</v>
      </c>
      <c r="E10" s="1">
        <v>50000</v>
      </c>
      <c r="F10">
        <v>14</v>
      </c>
      <c r="G10">
        <v>90</v>
      </c>
      <c r="H10" s="2">
        <f>F10/G10*100</f>
        <v>15.555555555555555</v>
      </c>
      <c r="I10" s="1">
        <f>D10/F10</f>
        <v>3428.5714285714284</v>
      </c>
    </row>
    <row r="11" spans="1:9">
      <c r="A11" t="s">
        <v>12</v>
      </c>
      <c r="B11" t="s">
        <v>13</v>
      </c>
      <c r="C11" t="s">
        <v>22</v>
      </c>
      <c r="D11" s="1">
        <v>46000</v>
      </c>
      <c r="E11" s="1">
        <v>48000</v>
      </c>
      <c r="F11">
        <v>12</v>
      </c>
      <c r="G11">
        <v>85</v>
      </c>
      <c r="H11" s="2">
        <f>F11/G11*100</f>
        <v>14.117647058823529</v>
      </c>
      <c r="I11" s="1">
        <f>D11/F11</f>
        <v>3833.3333333333335</v>
      </c>
    </row>
    <row r="12" spans="1:9">
      <c r="A12" t="s">
        <v>14</v>
      </c>
      <c r="B12" t="s">
        <v>15</v>
      </c>
      <c r="C12" t="s">
        <v>22</v>
      </c>
      <c r="D12" s="1">
        <v>42000</v>
      </c>
      <c r="E12" s="1">
        <v>45000</v>
      </c>
      <c r="F12">
        <v>11</v>
      </c>
      <c r="G12">
        <v>80</v>
      </c>
      <c r="H12" s="2">
        <f>F12/G12*100</f>
        <v>13.750000000000002</v>
      </c>
      <c r="I12" s="1">
        <f>D12/F12</f>
        <v>3818.181818181818</v>
      </c>
    </row>
    <row r="13" spans="1:9">
      <c r="A13" t="s">
        <v>16</v>
      </c>
      <c r="B13" t="s">
        <v>17</v>
      </c>
      <c r="C13" t="s">
        <v>22</v>
      </c>
      <c r="D13" s="1">
        <v>51000</v>
      </c>
      <c r="E13" s="1">
        <v>50000</v>
      </c>
      <c r="F13">
        <v>15</v>
      </c>
      <c r="G13">
        <v>93</v>
      </c>
      <c r="H13" s="2">
        <f>F13/G13*100</f>
        <v>16.129032258064516</v>
      </c>
      <c r="I13" s="1">
        <f>D13/F13</f>
        <v>3400</v>
      </c>
    </row>
    <row r="14" spans="1:9">
      <c r="A14" t="s">
        <v>18</v>
      </c>
      <c r="B14" t="s">
        <v>10</v>
      </c>
      <c r="C14" t="s">
        <v>22</v>
      </c>
      <c r="D14" s="1">
        <v>50000</v>
      </c>
      <c r="E14" s="1">
        <v>52000</v>
      </c>
      <c r="F14">
        <v>14</v>
      </c>
      <c r="G14">
        <v>88</v>
      </c>
      <c r="H14" s="2">
        <f>F14/G14*100</f>
        <v>15.909090909090908</v>
      </c>
      <c r="I14" s="1">
        <f>D14/F14</f>
        <v>3571.4285714285716</v>
      </c>
    </row>
    <row r="15" spans="1:9">
      <c r="A15" t="s">
        <v>19</v>
      </c>
      <c r="B15" t="s">
        <v>13</v>
      </c>
      <c r="C15" t="s">
        <v>22</v>
      </c>
      <c r="D15" s="1">
        <v>35000</v>
      </c>
      <c r="E15" s="1">
        <v>40000</v>
      </c>
      <c r="F15">
        <v>9</v>
      </c>
      <c r="G15">
        <v>72</v>
      </c>
      <c r="H15" s="2">
        <f>F15/G15*100</f>
        <v>12.5</v>
      </c>
      <c r="I15" s="1">
        <f>D15/F15</f>
        <v>3888.8888888888887</v>
      </c>
    </row>
    <row r="16" spans="1:9">
      <c r="A16" t="s">
        <v>20</v>
      </c>
      <c r="B16" t="s">
        <v>15</v>
      </c>
      <c r="C16" t="s">
        <v>22</v>
      </c>
      <c r="D16" s="1">
        <v>44000</v>
      </c>
      <c r="E16" s="1">
        <v>42000</v>
      </c>
      <c r="F16">
        <v>12</v>
      </c>
      <c r="G16">
        <v>84</v>
      </c>
      <c r="H16" s="2">
        <f>F16/G16*100</f>
        <v>14.285714285714285</v>
      </c>
      <c r="I16" s="1">
        <f>D16/F16</f>
        <v>3666.6666666666665</v>
      </c>
    </row>
    <row r="17" spans="1:9">
      <c r="A17" t="s">
        <v>21</v>
      </c>
      <c r="B17" t="s">
        <v>17</v>
      </c>
      <c r="C17" t="s">
        <v>22</v>
      </c>
      <c r="D17" s="1">
        <v>53000</v>
      </c>
      <c r="E17" s="1">
        <v>47000</v>
      </c>
      <c r="F17">
        <v>16</v>
      </c>
      <c r="G17">
        <v>95</v>
      </c>
      <c r="H17" s="2">
        <f>F17/G17*100</f>
        <v>16.842105263157894</v>
      </c>
      <c r="I17" s="1">
        <f>D17/F17</f>
        <v>3312.5</v>
      </c>
    </row>
    <row r="18" spans="1:9">
      <c r="A18" t="s">
        <v>9</v>
      </c>
      <c r="B18" t="s">
        <v>10</v>
      </c>
      <c r="C18" t="s">
        <v>23</v>
      </c>
      <c r="D18" s="1">
        <v>51000</v>
      </c>
      <c r="E18" s="1">
        <v>50000</v>
      </c>
      <c r="F18">
        <v>15</v>
      </c>
      <c r="G18">
        <v>92</v>
      </c>
      <c r="H18" s="2">
        <f>F18/G18*100</f>
        <v>16.304347826086957</v>
      </c>
      <c r="I18" s="1">
        <f>D18/F18</f>
        <v>3400</v>
      </c>
    </row>
    <row r="19" spans="1:9">
      <c r="A19" t="s">
        <v>12</v>
      </c>
      <c r="B19" t="s">
        <v>13</v>
      </c>
      <c r="C19" t="s">
        <v>23</v>
      </c>
      <c r="D19" s="1">
        <v>49000</v>
      </c>
      <c r="E19" s="1">
        <v>48000</v>
      </c>
      <c r="F19">
        <v>13</v>
      </c>
      <c r="G19">
        <v>88</v>
      </c>
      <c r="H19" s="2">
        <f>F19/G19*100</f>
        <v>14.772727272727273</v>
      </c>
      <c r="I19" s="1">
        <f>D19/F19</f>
        <v>3769.2307692307691</v>
      </c>
    </row>
    <row r="20" spans="1:9">
      <c r="A20" t="s">
        <v>14</v>
      </c>
      <c r="B20" t="s">
        <v>15</v>
      </c>
      <c r="C20" t="s">
        <v>23</v>
      </c>
      <c r="D20" s="1">
        <v>45000</v>
      </c>
      <c r="E20" s="1">
        <v>45000</v>
      </c>
      <c r="F20">
        <v>12</v>
      </c>
      <c r="G20">
        <v>82</v>
      </c>
      <c r="H20" s="2">
        <f>F20/G20*100</f>
        <v>14.634146341463413</v>
      </c>
      <c r="I20" s="1">
        <f>D20/F20</f>
        <v>3750</v>
      </c>
    </row>
    <row r="21" spans="1:9">
      <c r="A21" t="s">
        <v>16</v>
      </c>
      <c r="B21" t="s">
        <v>17</v>
      </c>
      <c r="C21" t="s">
        <v>23</v>
      </c>
      <c r="D21" s="1">
        <v>53000</v>
      </c>
      <c r="E21" s="1">
        <v>50000</v>
      </c>
      <c r="F21">
        <v>16</v>
      </c>
      <c r="G21">
        <v>95</v>
      </c>
      <c r="H21" s="2">
        <f>F21/G21*100</f>
        <v>16.842105263157894</v>
      </c>
      <c r="I21" s="1">
        <f>D21/F21</f>
        <v>3312.5</v>
      </c>
    </row>
    <row r="22" spans="1:9">
      <c r="A22" t="s">
        <v>18</v>
      </c>
      <c r="B22" t="s">
        <v>10</v>
      </c>
      <c r="C22" t="s">
        <v>23</v>
      </c>
      <c r="D22" s="1">
        <v>58000</v>
      </c>
      <c r="E22" s="1">
        <v>52000</v>
      </c>
      <c r="F22">
        <v>17</v>
      </c>
      <c r="G22">
        <v>98</v>
      </c>
      <c r="H22" s="2">
        <f>F22/G22*100</f>
        <v>17.346938775510203</v>
      </c>
      <c r="I22" s="1">
        <f>D22/F22</f>
        <v>3411.7647058823532</v>
      </c>
    </row>
    <row r="23" spans="1:9">
      <c r="A23" t="s">
        <v>19</v>
      </c>
      <c r="B23" t="s">
        <v>13</v>
      </c>
      <c r="C23" t="s">
        <v>23</v>
      </c>
      <c r="D23" s="1">
        <v>38000</v>
      </c>
      <c r="E23" s="1">
        <v>40000</v>
      </c>
      <c r="F23">
        <v>10</v>
      </c>
      <c r="G23">
        <v>75</v>
      </c>
      <c r="H23" s="2">
        <f>F23/G23*100</f>
        <v>13.333333333333334</v>
      </c>
      <c r="I23" s="1">
        <f>D23/F23</f>
        <v>3800</v>
      </c>
    </row>
    <row r="24" spans="1:9">
      <c r="A24" t="s">
        <v>20</v>
      </c>
      <c r="B24" t="s">
        <v>15</v>
      </c>
      <c r="C24" t="s">
        <v>23</v>
      </c>
      <c r="D24" s="1">
        <v>46000</v>
      </c>
      <c r="E24" s="1">
        <v>42000</v>
      </c>
      <c r="F24">
        <v>13</v>
      </c>
      <c r="G24">
        <v>86</v>
      </c>
      <c r="H24" s="2">
        <f>F24/G24*100</f>
        <v>15.11627906976744</v>
      </c>
      <c r="I24" s="1">
        <f>D24/F24</f>
        <v>3538.4615384615386</v>
      </c>
    </row>
    <row r="25" spans="1:9">
      <c r="A25" t="s">
        <v>21</v>
      </c>
      <c r="B25" t="s">
        <v>17</v>
      </c>
      <c r="C25" t="s">
        <v>23</v>
      </c>
      <c r="D25" s="1">
        <v>55000</v>
      </c>
      <c r="E25" s="1">
        <v>47000</v>
      </c>
      <c r="F25">
        <v>17</v>
      </c>
      <c r="G25">
        <v>97</v>
      </c>
      <c r="H25" s="2">
        <f>F25/G25*100</f>
        <v>17.525773195876287</v>
      </c>
      <c r="I25" s="1">
        <f>D25/F25</f>
        <v>3235.294117647059</v>
      </c>
    </row>
    <row r="26" spans="1:9">
      <c r="A26" t="s">
        <v>9</v>
      </c>
      <c r="B26" t="s">
        <v>10</v>
      </c>
      <c r="C26" t="s">
        <v>24</v>
      </c>
      <c r="D26" s="1">
        <v>54000</v>
      </c>
      <c r="E26" s="1">
        <v>50000</v>
      </c>
      <c r="F26">
        <v>16</v>
      </c>
      <c r="G26">
        <v>94</v>
      </c>
      <c r="H26" s="2">
        <f>F26/G26*100</f>
        <v>17.021276595744681</v>
      </c>
      <c r="I26" s="1">
        <f>D26/F26</f>
        <v>3375</v>
      </c>
    </row>
    <row r="27" spans="1:9">
      <c r="A27" t="s">
        <v>12</v>
      </c>
      <c r="B27" t="s">
        <v>13</v>
      </c>
      <c r="C27" t="s">
        <v>24</v>
      </c>
      <c r="D27" s="1">
        <v>51000</v>
      </c>
      <c r="E27" s="1">
        <v>48000</v>
      </c>
      <c r="F27">
        <v>14</v>
      </c>
      <c r="G27">
        <v>90</v>
      </c>
      <c r="H27" s="2">
        <f>F27/G27*100</f>
        <v>15.555555555555555</v>
      </c>
      <c r="I27" s="1">
        <f>D27/F27</f>
        <v>3642.8571428571427</v>
      </c>
    </row>
    <row r="28" spans="1:9">
      <c r="A28" t="s">
        <v>14</v>
      </c>
      <c r="B28" t="s">
        <v>15</v>
      </c>
      <c r="C28" t="s">
        <v>24</v>
      </c>
      <c r="D28" s="1">
        <v>48000</v>
      </c>
      <c r="E28" s="1">
        <v>45000</v>
      </c>
      <c r="F28">
        <v>13</v>
      </c>
      <c r="G28">
        <v>85</v>
      </c>
      <c r="H28" s="2">
        <f>F28/G28*100</f>
        <v>15.294117647058824</v>
      </c>
      <c r="I28" s="1">
        <f>D28/F28</f>
        <v>3692.3076923076924</v>
      </c>
    </row>
    <row r="29" spans="1:9">
      <c r="A29" t="s">
        <v>16</v>
      </c>
      <c r="B29" t="s">
        <v>17</v>
      </c>
      <c r="C29" t="s">
        <v>24</v>
      </c>
      <c r="D29" s="1">
        <v>56000</v>
      </c>
      <c r="E29" s="1">
        <v>50000</v>
      </c>
      <c r="F29">
        <v>17</v>
      </c>
      <c r="G29">
        <v>96</v>
      </c>
      <c r="H29" s="2">
        <f>F29/G29*100</f>
        <v>17.708333333333336</v>
      </c>
      <c r="I29" s="1">
        <f>D29/F29</f>
        <v>3294.1176470588234</v>
      </c>
    </row>
    <row r="30" spans="1:9">
      <c r="A30" t="s">
        <v>18</v>
      </c>
      <c r="B30" t="s">
        <v>10</v>
      </c>
      <c r="C30" t="s">
        <v>24</v>
      </c>
      <c r="D30" s="1">
        <v>61000</v>
      </c>
      <c r="E30" s="1">
        <v>52000</v>
      </c>
      <c r="F30">
        <v>18</v>
      </c>
      <c r="G30">
        <v>100</v>
      </c>
      <c r="H30" s="2">
        <f>F30/G30*100</f>
        <v>18</v>
      </c>
      <c r="I30" s="1">
        <f>D30/F30</f>
        <v>3388.8888888888887</v>
      </c>
    </row>
    <row r="31" spans="1:9">
      <c r="A31" t="s">
        <v>19</v>
      </c>
      <c r="B31" t="s">
        <v>13</v>
      </c>
      <c r="C31" t="s">
        <v>24</v>
      </c>
      <c r="D31" s="1">
        <v>40000</v>
      </c>
      <c r="E31" s="1">
        <v>40000</v>
      </c>
      <c r="F31">
        <v>11</v>
      </c>
      <c r="G31">
        <v>78</v>
      </c>
      <c r="H31" s="2">
        <f>F31/G31*100</f>
        <v>14.102564102564102</v>
      </c>
      <c r="I31" s="1">
        <f>D31/F31</f>
        <v>3636.3636363636365</v>
      </c>
    </row>
    <row r="32" spans="1:9">
      <c r="A32" t="s">
        <v>20</v>
      </c>
      <c r="B32" t="s">
        <v>15</v>
      </c>
      <c r="C32" t="s">
        <v>24</v>
      </c>
      <c r="D32" s="1">
        <v>49000</v>
      </c>
      <c r="E32" s="1">
        <v>42000</v>
      </c>
      <c r="F32">
        <v>14</v>
      </c>
      <c r="G32">
        <v>88</v>
      </c>
      <c r="H32" s="2">
        <f>F32/G32*100</f>
        <v>15.909090909090908</v>
      </c>
      <c r="I32" s="1">
        <f>D32/F32</f>
        <v>3500</v>
      </c>
    </row>
    <row r="33" spans="1:9">
      <c r="A33" t="s">
        <v>21</v>
      </c>
      <c r="B33" t="s">
        <v>17</v>
      </c>
      <c r="C33" t="s">
        <v>24</v>
      </c>
      <c r="D33" s="1">
        <v>58000</v>
      </c>
      <c r="E33" s="1">
        <v>47000</v>
      </c>
      <c r="F33">
        <v>18</v>
      </c>
      <c r="G33">
        <v>99</v>
      </c>
      <c r="H33" s="2">
        <f>F33/G33*100</f>
        <v>18.181818181818183</v>
      </c>
      <c r="I33" s="1">
        <f>D33/F33</f>
        <v>3222.2222222222222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A878-B236-4B62-A1D0-1D1061D99FD1}">
  <dimension ref="A1:H24"/>
  <sheetViews>
    <sheetView workbookViewId="0"/>
  </sheetViews>
  <sheetFormatPr defaultRowHeight="15"/>
  <cols>
    <col min="1" max="1" width="50" bestFit="1" customWidth="1"/>
    <col min="2" max="2" width="15" bestFit="1" customWidth="1"/>
    <col min="3" max="4" width="15.7109375" bestFit="1" customWidth="1"/>
    <col min="5" max="5" width="13.28515625" bestFit="1" customWidth="1"/>
    <col min="6" max="6" width="20" bestFit="1" customWidth="1"/>
    <col min="7" max="7" width="8.42578125" bestFit="1" customWidth="1"/>
  </cols>
  <sheetData>
    <row r="1" spans="1:8" ht="21">
      <c r="A1" s="11" t="s">
        <v>25</v>
      </c>
      <c r="B1" s="11"/>
      <c r="C1" s="11"/>
      <c r="D1" s="11"/>
      <c r="E1" s="11"/>
      <c r="F1" s="11"/>
      <c r="G1" s="11"/>
      <c r="H1" s="11"/>
    </row>
    <row r="2" spans="1:8">
      <c r="A2" s="7" t="s">
        <v>0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</row>
    <row r="3" spans="1:8">
      <c r="A3" s="4" t="s">
        <v>9</v>
      </c>
      <c r="B3" s="5">
        <f>SUMIFS(Feuil1!D:D,Feuil1!A:A,A3)</f>
        <v>198000</v>
      </c>
      <c r="C3" s="5">
        <f>SUMIFS(Feuil1!E:E,Feuil1!A:A,A3)</f>
        <v>200000</v>
      </c>
      <c r="D3" s="6">
        <f>IF(C3&gt;0,B3/C3*100,0)</f>
        <v>99</v>
      </c>
      <c r="E3" s="4">
        <f>SUMIFS(Feuil1!F:F,Feuil1!A:A,A3)</f>
        <v>57</v>
      </c>
      <c r="F3" s="6">
        <f>SUMIFS(Feuil1!H:H,Feuil1!A:A,A3)</f>
        <v>62.998827036210727</v>
      </c>
    </row>
    <row r="4" spans="1:8">
      <c r="A4" s="4" t="s">
        <v>12</v>
      </c>
      <c r="B4" s="5">
        <f>SUMIFS(Feuil1!D:D,Feuil1!A:A,A4)</f>
        <v>198000</v>
      </c>
      <c r="C4" s="5">
        <f>SUMIFS(Feuil1!E:E,Feuil1!A:A,A4)</f>
        <v>192000</v>
      </c>
      <c r="D4" s="6">
        <f>IF(C4&gt;0,B4/C4*100,0)</f>
        <v>103.125</v>
      </c>
      <c r="E4" s="4">
        <f>SUMIFS(Feuil1!F:F,Feuil1!A:A,A4)</f>
        <v>54</v>
      </c>
      <c r="F4" s="6">
        <f>SUMIFS(Feuil1!H:H,Feuil1!A:A,A4)</f>
        <v>60.750277713193313</v>
      </c>
    </row>
    <row r="5" spans="1:8">
      <c r="A5" s="4" t="s">
        <v>14</v>
      </c>
      <c r="B5" s="5">
        <f>SUMIFS(Feuil1!D:D,Feuil1!A:A,A5)</f>
        <v>173000</v>
      </c>
      <c r="C5" s="5">
        <f>SUMIFS(Feuil1!E:E,Feuil1!A:A,A5)</f>
        <v>180000</v>
      </c>
      <c r="D5" s="6">
        <f>IF(C5&gt;0,B5/C5*100,0)</f>
        <v>96.111111111111114</v>
      </c>
      <c r="E5" s="4">
        <f>SUMIFS(Feuil1!F:F,Feuil1!A:A,A5)</f>
        <v>46</v>
      </c>
      <c r="F5" s="6">
        <f>SUMIFS(Feuil1!H:H,Feuil1!A:A,A5)</f>
        <v>56.498776809035064</v>
      </c>
    </row>
    <row r="6" spans="1:8">
      <c r="A6" s="4" t="s">
        <v>16</v>
      </c>
      <c r="B6" s="5">
        <f>SUMIFS(Feuil1!D:D,Feuil1!A:A,A6)</f>
        <v>207000</v>
      </c>
      <c r="C6" s="5">
        <f>SUMIFS(Feuil1!E:E,Feuil1!A:A,A6)</f>
        <v>200000</v>
      </c>
      <c r="D6" s="6">
        <f>IF(C6&gt;0,B6/C6*100,0)</f>
        <v>103.49999999999999</v>
      </c>
      <c r="E6" s="4">
        <f>SUMIFS(Feuil1!F:F,Feuil1!A:A,A6)</f>
        <v>61</v>
      </c>
      <c r="F6" s="6">
        <f>SUMIFS(Feuil1!H:H,Feuil1!A:A,A6)</f>
        <v>65.452198127283026</v>
      </c>
    </row>
    <row r="7" spans="1:8">
      <c r="A7" s="4" t="s">
        <v>18</v>
      </c>
      <c r="B7" s="5">
        <f>SUMIFS(Feuil1!D:D,Feuil1!A:A,A7)</f>
        <v>224000</v>
      </c>
      <c r="C7" s="5">
        <f>SUMIFS(Feuil1!E:E,Feuil1!A:A,A7)</f>
        <v>208000</v>
      </c>
      <c r="D7" s="6">
        <f>IF(C7&gt;0,B7/C7*100,0)</f>
        <v>107.69230769230769</v>
      </c>
      <c r="E7" s="4">
        <f>SUMIFS(Feuil1!F:F,Feuil1!A:A,A7)</f>
        <v>65</v>
      </c>
      <c r="F7" s="6">
        <f>SUMIFS(Feuil1!H:H,Feuil1!A:A,A7)</f>
        <v>68.098134947759007</v>
      </c>
    </row>
    <row r="8" spans="1:8">
      <c r="A8" s="4" t="s">
        <v>19</v>
      </c>
      <c r="B8" s="5">
        <f>SUMIFS(Feuil1!D:D,Feuil1!A:A,A8)</f>
        <v>145000</v>
      </c>
      <c r="C8" s="5">
        <f>SUMIFS(Feuil1!E:E,Feuil1!A:A,A8)</f>
        <v>160000</v>
      </c>
      <c r="D8" s="6">
        <f>IF(C8&gt;0,B8/C8*100,0)</f>
        <v>90.625</v>
      </c>
      <c r="E8" s="4">
        <f>SUMIFS(Feuil1!F:F,Feuil1!A:A,A8)</f>
        <v>38</v>
      </c>
      <c r="F8" s="6">
        <f>SUMIFS(Feuil1!H:H,Feuil1!A:A,A8)</f>
        <v>51.364468864468869</v>
      </c>
    </row>
    <row r="9" spans="1:8">
      <c r="A9" s="4" t="s">
        <v>31</v>
      </c>
      <c r="B9" s="5">
        <f>SUMIFS(Feuil1!D:D,Feuil1!A:A,A9)</f>
        <v>0</v>
      </c>
      <c r="C9" s="5">
        <f>SUMIFS(Feuil1!E:E,Feuil1!A:A,A9)</f>
        <v>0</v>
      </c>
      <c r="D9" s="6">
        <f>IF(C9&gt;0,B9/C9*100,0)</f>
        <v>0</v>
      </c>
      <c r="E9" s="4">
        <f>SUMIFS(Feuil1!F:F,Feuil1!A:A,A9)</f>
        <v>0</v>
      </c>
      <c r="F9" s="6">
        <f>SUMIFS(Feuil1!H:H,Feuil1!A:A,A9)</f>
        <v>0</v>
      </c>
    </row>
    <row r="10" spans="1:8">
      <c r="A10" s="4" t="s">
        <v>32</v>
      </c>
      <c r="B10" s="5">
        <f>SUMIFS(Feuil1!D:D,Feuil1!A:A,A10)</f>
        <v>0</v>
      </c>
      <c r="C10" s="5">
        <f>SUMIFS(Feuil1!E:E,Feuil1!A:A,A10)</f>
        <v>0</v>
      </c>
      <c r="D10" s="6">
        <f>IF(C10&gt;0,B10/C10*100,0)</f>
        <v>0</v>
      </c>
      <c r="E10" s="4">
        <f>SUMIFS(Feuil1!F:F,Feuil1!A:A,A10)</f>
        <v>0</v>
      </c>
      <c r="F10" s="6">
        <f>SUMIFS(Feuil1!H:H,Feuil1!A:A,A10)</f>
        <v>0</v>
      </c>
    </row>
    <row r="12" spans="1:8">
      <c r="A12" t="s">
        <v>33</v>
      </c>
    </row>
    <row r="13" spans="1:8">
      <c r="A13" s="10" t="s">
        <v>1</v>
      </c>
      <c r="B13" s="10" t="s">
        <v>26</v>
      </c>
      <c r="C13" s="10" t="s">
        <v>27</v>
      </c>
      <c r="D13" s="10" t="s">
        <v>34</v>
      </c>
      <c r="E13" s="10" t="s">
        <v>35</v>
      </c>
      <c r="F13" s="10" t="s">
        <v>36</v>
      </c>
    </row>
    <row r="14" spans="1:8">
      <c r="A14" t="s">
        <v>10</v>
      </c>
      <c r="B14" s="1">
        <f>SUMIFS(Feuil1!$D$2:$D$33,Feuil1!$B$2:$B$33,A14)</f>
        <v>422000</v>
      </c>
      <c r="C14" s="1">
        <f>SUMIFS(Feuil1!$E$2:$E$33,Feuil1!$B$2:$B$33,A14)</f>
        <v>408000</v>
      </c>
      <c r="D14" s="8">
        <f>IFERROR(B14/C14,0)</f>
        <v>1.0343137254901962</v>
      </c>
      <c r="E14" s="9">
        <f>SUMIFS(Feuil1!$G$2:$G$33,Feuil1!$B$2:$B$33,A14)</f>
        <v>742</v>
      </c>
      <c r="F14" s="8">
        <f>AVERAGEIFS(Feuil1!$H$2:$H$33,Feuil1!$B$2:$B$33,A14)</f>
        <v>16.387120247996215</v>
      </c>
    </row>
    <row r="15" spans="1:8">
      <c r="A15" t="s">
        <v>13</v>
      </c>
      <c r="B15" s="1">
        <f>SUMIFS(Feuil1!$D$2:$D$33,Feuil1!$B$2:$B$33,A15)</f>
        <v>343000</v>
      </c>
      <c r="C15" s="1">
        <f>SUMIFS(Feuil1!$E$2:$E$33,Feuil1!$B$2:$B$33,A15)</f>
        <v>352000</v>
      </c>
      <c r="D15" s="8">
        <f>IFERROR(B15/C15,0)</f>
        <v>0.97443181818181823</v>
      </c>
      <c r="E15" s="9">
        <f>SUMIFS(Feuil1!$G$2:$G$33,Feuil1!$B$2:$B$33,A15)</f>
        <v>650</v>
      </c>
      <c r="F15" s="8">
        <f>AVERAGEIFS(Feuil1!$H$2:$H$33,Feuil1!$B$2:$B$33,A15)</f>
        <v>14.014343322207772</v>
      </c>
    </row>
    <row r="16" spans="1:8">
      <c r="A16" t="s">
        <v>17</v>
      </c>
      <c r="B16" s="1">
        <f>SUMIFS(Feuil1!$D$2:$D$33,Feuil1!$B$2:$B$33,A16)</f>
        <v>422000</v>
      </c>
      <c r="C16" s="1">
        <f>SUMIFS(Feuil1!$E$2:$E$33,Feuil1!$B$2:$B$33,A16)</f>
        <v>388000</v>
      </c>
      <c r="D16" s="8">
        <f>IFERROR(B16/C16,0)</f>
        <v>1.0876288659793814</v>
      </c>
      <c r="E16" s="9">
        <f>SUMIFS(Feuil1!$G$2:$G$33,Feuil1!$B$2:$B$33,A16)</f>
        <v>753</v>
      </c>
      <c r="F16" s="8">
        <f>AVERAGEIFS(Feuil1!$H$2:$H$33,Feuil1!$B$2:$B$33,A16)</f>
        <v>16.694681290461368</v>
      </c>
    </row>
    <row r="17" spans="1:7">
      <c r="A17" t="s">
        <v>15</v>
      </c>
      <c r="B17" s="1">
        <f>SUMIFS(Feuil1!$D$2:$D$33,Feuil1!$B$2:$B$33,A17)</f>
        <v>353000</v>
      </c>
      <c r="C17" s="1">
        <f>SUMIFS(Feuil1!$E$2:$E$33,Feuil1!$B$2:$B$33,A17)</f>
        <v>348000</v>
      </c>
      <c r="D17" s="8">
        <f>IFERROR(B17/C17,0)</f>
        <v>1.014367816091954</v>
      </c>
      <c r="E17" s="9">
        <f>SUMIFS(Feuil1!$G$2:$G$33,Feuil1!$B$2:$B$33,A17)</f>
        <v>665</v>
      </c>
      <c r="F17" s="8">
        <f>AVERAGEIFS(Feuil1!$H$2:$H$33,Feuil1!$B$2:$B$33,A17)</f>
        <v>14.403061902493645</v>
      </c>
    </row>
    <row r="19" spans="1:7">
      <c r="A19" t="s">
        <v>37</v>
      </c>
    </row>
    <row r="20" spans="1:7">
      <c r="A20" t="s">
        <v>2</v>
      </c>
      <c r="B20" t="s">
        <v>38</v>
      </c>
      <c r="C20" t="s">
        <v>39</v>
      </c>
      <c r="D20" t="s">
        <v>34</v>
      </c>
      <c r="E20" t="s">
        <v>40</v>
      </c>
      <c r="F20" t="s">
        <v>36</v>
      </c>
    </row>
    <row r="21" spans="1:7">
      <c r="A21" t="s">
        <v>11</v>
      </c>
      <c r="B21" s="1">
        <f>SUMIFS(Feuil1!$D$2:$D$33,Feuil1!$C$2:$C$33,"Janvier")</f>
        <v>359000</v>
      </c>
      <c r="C21" s="1">
        <f>SUMIFS(Feuil1!$E$2:$E$33,Feuil1!$C$2:$C$33,"Janvier")</f>
        <v>374000</v>
      </c>
      <c r="D21" s="8">
        <f>IFERROR(B21/C21,0)</f>
        <v>0.9598930481283422</v>
      </c>
      <c r="E21">
        <f>SUMIFS(Feuil1!$F$2:$F$33,Feuil1!$C$2:$C$33,"Janvier")</f>
        <v>99</v>
      </c>
      <c r="F21" s="8">
        <f>SUMIFS(Feuil1!H:H,Feuil1!C:C,"Janvier")/COUNTIF(Feuil1!C:C,"Janvier")</f>
        <v>14.407012671472117</v>
      </c>
      <c r="G21" s="8">
        <f>AVERAGEIFS(Feuil1!$G$2:$G$33,Feuil1!$C$2:$C$33,"Janvier")</f>
        <v>85</v>
      </c>
    </row>
    <row r="22" spans="1:7">
      <c r="A22" t="s">
        <v>22</v>
      </c>
      <c r="B22" s="1">
        <f>SUMIFS(Feuil1!$D$2:$D$33,Feuil1!$C$2:$C$33,"Février")</f>
        <v>369000</v>
      </c>
      <c r="C22" s="1">
        <f>SUMIFS(Feuil1!$E$2:$E$33,Feuil1!$C$2:$C$33,"Février")</f>
        <v>374000</v>
      </c>
      <c r="D22" s="8">
        <f>IFERROR(B22/C22,0)</f>
        <v>0.9866310160427807</v>
      </c>
      <c r="E22">
        <f>SUMIFS(Feuil1!$F$2:$F$33,Feuil1!$C$2:$C$33,"Février")</f>
        <v>103</v>
      </c>
      <c r="F22" s="8">
        <f>SUMIFS(Feuil1!H:H,Feuil1!C:C,"Février")/COUNTIF(Feuil1!C:C,"Février")</f>
        <v>14.886143166300837</v>
      </c>
      <c r="G22" s="8">
        <f>AVERAGEIFS(Feuil1!$G$2:$G$33,Feuil1!$C$2:$C$33,"Février")</f>
        <v>85.875</v>
      </c>
    </row>
    <row r="23" spans="1:7">
      <c r="A23" t="s">
        <v>23</v>
      </c>
      <c r="B23" s="1">
        <f>SUMIFS(Feuil1!$D$2:$D$33,Feuil1!$C$2:$C$33,"Mars")</f>
        <v>395000</v>
      </c>
      <c r="C23" s="1">
        <f>SUMIFS(Feuil1!$E$2:$E$33,Feuil1!$C$2:$C$33,"Mars")</f>
        <v>374000</v>
      </c>
      <c r="D23" s="8">
        <f>IFERROR(B23/C23,0)</f>
        <v>1.0561497326203209</v>
      </c>
      <c r="E23">
        <f>SUMIFS(Feuil1!$F$2:$F$33,Feuil1!$C$2:$C$33,"Mars")</f>
        <v>113</v>
      </c>
      <c r="F23" s="8">
        <f>SUMIFS(Feuil1!H:H,Feuil1!C:C,"Mars")/COUNTIF(Feuil1!C:C,"Mars")</f>
        <v>15.734456384740348</v>
      </c>
      <c r="G23" s="8">
        <f>AVERAGEIFS(Feuil1!$G$2:$G$33,Feuil1!$C$2:$C$33,"Mars")</f>
        <v>89.125</v>
      </c>
    </row>
    <row r="24" spans="1:7">
      <c r="A24" t="s">
        <v>24</v>
      </c>
      <c r="B24" s="1">
        <f>SUMIFS(Feuil1!$D$2:$D$33,Feuil1!$C$2:$C$33,"Avril")</f>
        <v>417000</v>
      </c>
      <c r="C24" s="1">
        <f>SUMIFS(Feuil1!$E$2:$E$33,Feuil1!$C$2:$C$33,"Avril")</f>
        <v>374000</v>
      </c>
      <c r="D24" s="8">
        <f>IFERROR(B24/C24,0)</f>
        <v>1.1149732620320856</v>
      </c>
      <c r="E24">
        <f>SUMIFS(Feuil1!$F$2:$F$33,Feuil1!$C$2:$C$33,"Avril")</f>
        <v>121</v>
      </c>
      <c r="F24" s="8">
        <f>SUMIFS(Feuil1!H:H,Feuil1!C:C,"Avril")/COUNTIF(Feuil1!C:C,"Avril")</f>
        <v>16.471594540645697</v>
      </c>
      <c r="G24" s="8">
        <f>AVERAGEIFS(Feuil1!$G$2:$G$33,Feuil1!$C$2:$C$33,"Avril")</f>
        <v>91.25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524B-40A7-4144-A472-CA3E0876D528}">
  <dimension ref="A1:F9"/>
  <sheetViews>
    <sheetView workbookViewId="0"/>
  </sheetViews>
  <sheetFormatPr defaultRowHeight="15"/>
  <cols>
    <col min="1" max="1" width="7.5703125" bestFit="1" customWidth="1"/>
    <col min="2" max="2" width="15" bestFit="1" customWidth="1"/>
    <col min="3" max="3" width="15.7109375" bestFit="1" customWidth="1"/>
    <col min="5" max="5" width="6.7109375" bestFit="1" customWidth="1"/>
    <col min="6" max="6" width="9.28515625" bestFit="1" customWidth="1"/>
  </cols>
  <sheetData>
    <row r="1" spans="1:6">
      <c r="A1" s="12" t="s">
        <v>0</v>
      </c>
      <c r="B1" s="12" t="s">
        <v>26</v>
      </c>
      <c r="C1" s="12" t="s">
        <v>27</v>
      </c>
      <c r="E1" s="12" t="s">
        <v>2</v>
      </c>
      <c r="F1" s="12" t="s">
        <v>41</v>
      </c>
    </row>
    <row r="2" spans="1:6">
      <c r="A2" s="4" t="s">
        <v>12</v>
      </c>
      <c r="B2" s="5">
        <f>SUMIFS(Feuil1!D:D,Feuil1!A:A,A2)</f>
        <v>198000</v>
      </c>
      <c r="C2" s="5">
        <f>SUMIFS(Feuil1!E:E,Feuil1!A:A,A2)</f>
        <v>192000</v>
      </c>
      <c r="E2" s="4" t="s">
        <v>11</v>
      </c>
      <c r="F2" s="5">
        <f>SUMIFS(Feuil1!D:D,Feuil1!C:C,"Janvier")</f>
        <v>359000</v>
      </c>
    </row>
    <row r="3" spans="1:6">
      <c r="A3" s="4" t="s">
        <v>9</v>
      </c>
      <c r="B3" s="5">
        <f>SUMIFS(Feuil1!D:D,Feuil1!A:A,A3)</f>
        <v>198000</v>
      </c>
      <c r="C3" s="5">
        <f>SUMIFS(Feuil1!E:E,Feuil1!A:A,A3)</f>
        <v>200000</v>
      </c>
      <c r="E3" s="4" t="s">
        <v>22</v>
      </c>
      <c r="F3" s="5">
        <f>SUMIFS(Feuil1!D:D,Feuil1!C:C,"Février")</f>
        <v>369000</v>
      </c>
    </row>
    <row r="4" spans="1:6">
      <c r="A4" s="4" t="s">
        <v>14</v>
      </c>
      <c r="B4" s="5">
        <f>SUMIFS(Feuil1!D:D,Feuil1!A:A,A4)</f>
        <v>173000</v>
      </c>
      <c r="C4" s="5">
        <f>SUMIFS(Feuil1!E:E,Feuil1!A:A,A4)</f>
        <v>180000</v>
      </c>
      <c r="E4" s="4" t="s">
        <v>23</v>
      </c>
      <c r="F4" s="5">
        <f>SUMIFS(Feuil1!D:D,Feuil1!C:C,"Mars")</f>
        <v>395000</v>
      </c>
    </row>
    <row r="5" spans="1:6">
      <c r="A5" s="4" t="s">
        <v>19</v>
      </c>
      <c r="B5" s="5">
        <f>SUMIFS(Feuil1!D:D,Feuil1!A:A,A5)</f>
        <v>145000</v>
      </c>
      <c r="C5" s="5">
        <f>SUMIFS(Feuil1!E:E,Feuil1!A:A,A5)</f>
        <v>160000</v>
      </c>
      <c r="E5" s="4" t="s">
        <v>24</v>
      </c>
      <c r="F5" s="5">
        <f>SUMIFS(Feuil1!D:D,Feuil1!C:C,"Avril")</f>
        <v>417000</v>
      </c>
    </row>
    <row r="6" spans="1:6">
      <c r="A6" s="4" t="s">
        <v>42</v>
      </c>
      <c r="B6" s="5">
        <f>SUMIFS(Feuil1!D:D,Feuil1!A:A,A6)</f>
        <v>0</v>
      </c>
      <c r="C6" s="5">
        <f>SUMIFS(Feuil1!E:E,Feuil1!A:A,A6)</f>
        <v>0</v>
      </c>
    </row>
    <row r="7" spans="1:6">
      <c r="A7" s="4" t="s">
        <v>16</v>
      </c>
      <c r="B7" s="5">
        <f>SUMIFS(Feuil1!D:D,Feuil1!A:A,A7)</f>
        <v>207000</v>
      </c>
      <c r="C7" s="5">
        <f>SUMIFS(Feuil1!E:E,Feuil1!A:A,A7)</f>
        <v>200000</v>
      </c>
    </row>
    <row r="8" spans="1:6">
      <c r="A8" s="4" t="s">
        <v>18</v>
      </c>
      <c r="B8" s="5">
        <f>SUMIFS(Feuil1!D:D,Feuil1!A:A,A8)</f>
        <v>224000</v>
      </c>
      <c r="C8" s="5">
        <f>SUMIFS(Feuil1!E:E,Feuil1!A:A,A8)</f>
        <v>208000</v>
      </c>
    </row>
    <row r="9" spans="1:6">
      <c r="A9" s="4" t="s">
        <v>21</v>
      </c>
      <c r="B9" s="5">
        <f>SUMIFS(Feuil1!D:D,Feuil1!A:A,A9)</f>
        <v>215000</v>
      </c>
      <c r="C9" s="5">
        <f>SUMIFS(Feuil1!E:E,Feuil1!A:A,A9)</f>
        <v>188000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2026-05-09T05:43:42Z</dcterms:created>
  <dcterms:modified xsi:type="dcterms:W3CDTF">2026-05-09T06:14:07Z</dcterms:modified>
  <cp:category/>
  <cp:contentStatus/>
</cp:coreProperties>
</file>